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23416_MachineLearning\"/>
    </mc:Choice>
  </mc:AlternateContent>
  <xr:revisionPtr revIDLastSave="0" documentId="13_ncr:1_{E8CD0404-D18F-4F2E-9408-2E19902B3D23}" xr6:coauthVersionLast="47" xr6:coauthVersionMax="47" xr10:uidLastSave="{00000000-0000-0000-0000-000000000000}"/>
  <bookViews>
    <workbookView xWindow="11424" yWindow="0" windowWidth="11712" windowHeight="12336" activeTab="2" xr2:uid="{589A91D2-DAF9-4B39-AB7A-5E002D62A59A}"/>
  </bookViews>
  <sheets>
    <sheet name="Excel_1" sheetId="1" r:id="rId1"/>
    <sheet name="Excel_2" sheetId="2" r:id="rId2"/>
    <sheet name="Excel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3" l="1"/>
  <c r="Q13" i="3"/>
  <c r="Q2" i="3"/>
  <c r="P2" i="3"/>
  <c r="N11" i="3" a="1"/>
  <c r="N11" i="3" s="1"/>
  <c r="K11" i="3" a="1"/>
  <c r="K11" i="3" s="1"/>
  <c r="K6" i="3" a="1"/>
  <c r="K6" i="3" s="1"/>
  <c r="K1" i="3" a="1"/>
  <c r="K1" i="3" s="1"/>
  <c r="C14" i="2"/>
  <c r="C13" i="2"/>
  <c r="C12" i="2"/>
  <c r="C11" i="2"/>
  <c r="C10" i="2"/>
  <c r="C9" i="2"/>
  <c r="C8" i="2"/>
  <c r="C7" i="2"/>
  <c r="C6" i="2"/>
  <c r="C5" i="2"/>
  <c r="C4" i="2"/>
  <c r="C3" i="2"/>
  <c r="C2" i="2"/>
  <c r="E5" i="2"/>
  <c r="E4" i="2"/>
  <c r="E3" i="2"/>
  <c r="E2" i="2"/>
  <c r="E1" i="2"/>
  <c r="C11" i="1"/>
  <c r="C10" i="1"/>
  <c r="C9" i="1"/>
  <c r="C8" i="1"/>
  <c r="C7" i="1"/>
  <c r="C6" i="1"/>
  <c r="C5" i="1"/>
  <c r="C4" i="1"/>
  <c r="C3" i="1"/>
  <c r="C2" i="1"/>
  <c r="E1" i="1"/>
  <c r="E6" i="1" s="1"/>
  <c r="E7" i="1" s="1"/>
  <c r="E5" i="1"/>
  <c r="E4" i="1"/>
  <c r="E3" i="1"/>
  <c r="E2" i="1"/>
  <c r="E6" i="2" l="1"/>
  <c r="E7" i="2" s="1"/>
  <c r="P3" i="3" l="1"/>
  <c r="Q3" i="3" s="1"/>
  <c r="P4" i="3"/>
  <c r="Q4" i="3" s="1"/>
  <c r="P12" i="3"/>
  <c r="Q12" i="3" s="1"/>
  <c r="P11" i="3"/>
  <c r="Q11" i="3" s="1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<sst xmlns="http://schemas.openxmlformats.org/spreadsheetml/2006/main" count="35" uniqueCount="22">
  <si>
    <t>x</t>
  </si>
  <si>
    <t>y</t>
  </si>
  <si>
    <t>Độ lệch chuẩn x</t>
  </si>
  <si>
    <t>Độ lệch chuẩn y</t>
  </si>
  <si>
    <t>Trung bình x</t>
  </si>
  <si>
    <t>Trung bình y</t>
  </si>
  <si>
    <t>Tương quan x và y</t>
  </si>
  <si>
    <t>B1</t>
  </si>
  <si>
    <t>B0</t>
  </si>
  <si>
    <t>Y-predicted</t>
  </si>
  <si>
    <t>Color</t>
  </si>
  <si>
    <t>Quality</t>
  </si>
  <si>
    <t>Price</t>
  </si>
  <si>
    <t>x0</t>
  </si>
  <si>
    <t>(X'X)=</t>
  </si>
  <si>
    <t>(X'X)_INV=</t>
  </si>
  <si>
    <t>(X'Y)=</t>
  </si>
  <si>
    <t>B_hat=</t>
  </si>
  <si>
    <t>Predict Price</t>
  </si>
  <si>
    <t>Squared Error</t>
  </si>
  <si>
    <t>MSE=</t>
  </si>
  <si>
    <t>RMSE=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</si>
</sst>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 readingOrder="1"/>
    </xf>
    <xf numFmtId="0" fontId="2" fillId="0" borderId="0" xfId="0" applyFont="1"/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Fill="1" applyBorder="1" applyAlignment="1">
      <alignment horizontal="center" wrapText="1" readingOrder="1"/>
    </xf>
    <xf numFmtId="0" fontId="3" fillId="0" borderId="2" xfId="0" applyFont="1" applyFill="1" applyBorder="1" applyAlignment="1">
      <alignment horizontal="center"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Excel_1!$B$1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Excel_1!$A$2:$A$11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Excel_1!$B$2:$B$11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9-48B4-AB5C-503AE59861FE}"/>
            </c:ext>
          </c:extLst>
        </c:ser>
        <c:ser>
          <c:idx val="1"/>
          <c:order val="1"/>
          <c:tx>
            <c:strRef>
              <c:f>Excel_1!$C$1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Excel_1!$A$2:$A$11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Excel_1!$C$2:$C$11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9-48B4-AB5C-503AE5986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77112"/>
        <c:axId val="409272432"/>
      </c:lineChart>
      <c:catAx>
        <c:axId val="40927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72432"/>
        <c:crosses val="autoZero"/>
        <c:auto val="1"/>
        <c:lblAlgn val="ctr"/>
        <c:lblOffset val="100"/>
        <c:noMultiLvlLbl val="0"/>
      </c:catAx>
      <c:valAx>
        <c:axId val="4092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7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12</xdr:row>
      <xdr:rowOff>11430</xdr:rowOff>
    </xdr:from>
    <xdr:to>
      <xdr:col>6</xdr:col>
      <xdr:colOff>464820</xdr:colOff>
      <xdr:row>27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608736-54BE-65AD-B538-921E90F72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F1F0-90FF-4EFB-AE98-492A52E135F5}">
  <dimension ref="A1:E11"/>
  <sheetViews>
    <sheetView workbookViewId="0">
      <selection activeCell="D9" sqref="D9"/>
    </sheetView>
  </sheetViews>
  <sheetFormatPr defaultRowHeight="14.4" x14ac:dyDescent="0.3"/>
  <cols>
    <col min="3" max="3" width="17.109375" customWidth="1"/>
    <col min="4" max="4" width="16.21875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2</v>
      </c>
      <c r="E1">
        <f>STDEV(A2:A11)</f>
        <v>3.0276503540974917</v>
      </c>
    </row>
    <row r="2" spans="1:5" x14ac:dyDescent="0.3">
      <c r="A2">
        <v>1</v>
      </c>
      <c r="B2">
        <v>2</v>
      </c>
      <c r="C2">
        <f>$E$7+$E$6*A2</f>
        <v>0.81818181818181879</v>
      </c>
      <c r="D2" t="s">
        <v>3</v>
      </c>
      <c r="E2">
        <f>STDEV(B2:B11)</f>
        <v>6.3909658459769938</v>
      </c>
    </row>
    <row r="3" spans="1:5" x14ac:dyDescent="0.3">
      <c r="A3">
        <v>2</v>
      </c>
      <c r="B3">
        <v>4</v>
      </c>
      <c r="C3">
        <f t="shared" ref="C3:C11" si="0">$E$7+$E$6*A3</f>
        <v>2.9030303030303033</v>
      </c>
      <c r="D3" t="s">
        <v>4</v>
      </c>
      <c r="E3">
        <f>AVERAGE(A2:A11)</f>
        <v>5.5</v>
      </c>
    </row>
    <row r="4" spans="1:5" x14ac:dyDescent="0.3">
      <c r="A4">
        <v>3</v>
      </c>
      <c r="B4">
        <v>3</v>
      </c>
      <c r="C4">
        <f t="shared" si="0"/>
        <v>4.9878787878787882</v>
      </c>
      <c r="D4" t="s">
        <v>5</v>
      </c>
      <c r="E4">
        <f>AVERAGE(B2:B11)</f>
        <v>10.199999999999999</v>
      </c>
    </row>
    <row r="5" spans="1:5" x14ac:dyDescent="0.3">
      <c r="A5">
        <v>4</v>
      </c>
      <c r="B5">
        <v>6</v>
      </c>
      <c r="C5">
        <f t="shared" si="0"/>
        <v>7.0727272727272723</v>
      </c>
      <c r="D5" t="s">
        <v>6</v>
      </c>
      <c r="E5">
        <f>CORREL(A2:A11, B2:B11)</f>
        <v>0.98767422726324727</v>
      </c>
    </row>
    <row r="6" spans="1:5" x14ac:dyDescent="0.3">
      <c r="A6">
        <v>5</v>
      </c>
      <c r="B6">
        <v>9</v>
      </c>
      <c r="C6">
        <f t="shared" si="0"/>
        <v>9.1575757575757564</v>
      </c>
      <c r="D6" t="s">
        <v>7</v>
      </c>
      <c r="E6">
        <f>E5*(E2/E1)</f>
        <v>2.0848484848484845</v>
      </c>
    </row>
    <row r="7" spans="1:5" x14ac:dyDescent="0.3">
      <c r="A7">
        <v>6</v>
      </c>
      <c r="B7">
        <v>12</v>
      </c>
      <c r="C7">
        <f t="shared" si="0"/>
        <v>11.242424242424242</v>
      </c>
      <c r="D7" t="s">
        <v>8</v>
      </c>
      <c r="E7">
        <f>E4-E6*E3</f>
        <v>-1.2666666666666657</v>
      </c>
    </row>
    <row r="8" spans="1:5" x14ac:dyDescent="0.3">
      <c r="A8">
        <v>7</v>
      </c>
      <c r="B8">
        <v>13</v>
      </c>
      <c r="C8">
        <f t="shared" si="0"/>
        <v>13.327272727272726</v>
      </c>
    </row>
    <row r="9" spans="1:5" x14ac:dyDescent="0.3">
      <c r="A9">
        <v>8</v>
      </c>
      <c r="B9">
        <v>15</v>
      </c>
      <c r="C9">
        <f t="shared" si="0"/>
        <v>15.41212121212121</v>
      </c>
    </row>
    <row r="10" spans="1:5" x14ac:dyDescent="0.3">
      <c r="A10">
        <v>9</v>
      </c>
      <c r="B10">
        <v>18</v>
      </c>
      <c r="C10">
        <f t="shared" si="0"/>
        <v>17.496969696969696</v>
      </c>
    </row>
    <row r="11" spans="1:5" x14ac:dyDescent="0.3">
      <c r="A11">
        <v>10</v>
      </c>
      <c r="B11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E521-3B76-4F85-BA23-E1B51E8BC8E1}">
  <dimension ref="A1:E14"/>
  <sheetViews>
    <sheetView workbookViewId="0">
      <selection activeCell="B2" sqref="B2:B14"/>
    </sheetView>
  </sheetViews>
  <sheetFormatPr defaultRowHeight="14.4" x14ac:dyDescent="0.3"/>
  <cols>
    <col min="3" max="3" width="20.6640625" customWidth="1"/>
    <col min="4" max="4" width="16.77734375" customWidth="1"/>
    <col min="5" max="5" width="17" customWidth="1"/>
  </cols>
  <sheetData>
    <row r="1" spans="1:5" ht="15" thickBot="1" x14ac:dyDescent="0.35">
      <c r="A1" s="2" t="s">
        <v>0</v>
      </c>
      <c r="B1" s="2" t="s">
        <v>1</v>
      </c>
      <c r="C1" t="s">
        <v>9</v>
      </c>
      <c r="D1" t="s">
        <v>2</v>
      </c>
      <c r="E1">
        <f>STDEV(A2:A14)</f>
        <v>5.840014488917749</v>
      </c>
    </row>
    <row r="2" spans="1:5" ht="15" thickBot="1" x14ac:dyDescent="0.35">
      <c r="A2" s="1">
        <v>73.5</v>
      </c>
      <c r="B2" s="1">
        <v>1.49</v>
      </c>
      <c r="C2">
        <f>$E$7+$E$6*A2</f>
        <v>1.4846771919932338</v>
      </c>
      <c r="D2" t="s">
        <v>3</v>
      </c>
      <c r="E2">
        <f>STDEV(B2:B14)</f>
        <v>6.5496134158769898E-2</v>
      </c>
    </row>
    <row r="3" spans="1:5" ht="15" thickBot="1" x14ac:dyDescent="0.35">
      <c r="A3" s="1">
        <v>75</v>
      </c>
      <c r="B3" s="1">
        <v>1.5</v>
      </c>
      <c r="C3">
        <f t="shared" ref="C3:C14" si="0">$E$7+$E$6*A3</f>
        <v>1.5014533408514237</v>
      </c>
      <c r="D3" t="s">
        <v>4</v>
      </c>
      <c r="E3">
        <f>AVERAGE(A2:A14)</f>
        <v>83.192307692307693</v>
      </c>
    </row>
    <row r="4" spans="1:5" ht="15" thickBot="1" x14ac:dyDescent="0.35">
      <c r="A4" s="1">
        <v>76.5</v>
      </c>
      <c r="B4" s="1">
        <v>1.51</v>
      </c>
      <c r="C4">
        <f t="shared" si="0"/>
        <v>1.5182294897096138</v>
      </c>
      <c r="D4" t="s">
        <v>5</v>
      </c>
      <c r="E4">
        <f>AVERAGE(B2:B14)</f>
        <v>1.5930769230769231</v>
      </c>
    </row>
    <row r="5" spans="1:5" ht="15" thickBot="1" x14ac:dyDescent="0.35">
      <c r="A5" s="1">
        <v>79</v>
      </c>
      <c r="B5" s="1">
        <v>1.54</v>
      </c>
      <c r="C5">
        <f t="shared" si="0"/>
        <v>1.5461897378065972</v>
      </c>
      <c r="D5" t="s">
        <v>6</v>
      </c>
      <c r="E5">
        <f>CORREL(A2:A14, B2:B14)</f>
        <v>0.99723903462325769</v>
      </c>
    </row>
    <row r="6" spans="1:5" ht="15" thickBot="1" x14ac:dyDescent="0.35">
      <c r="A6" s="1">
        <v>81.5</v>
      </c>
      <c r="B6" s="1">
        <v>1.58</v>
      </c>
      <c r="C6">
        <f t="shared" si="0"/>
        <v>1.5741499859035804</v>
      </c>
      <c r="D6" t="s">
        <v>7</v>
      </c>
      <c r="E6">
        <f>E5*(E2/E1)</f>
        <v>1.1184099238793339E-2</v>
      </c>
    </row>
    <row r="7" spans="1:5" ht="15" thickBot="1" x14ac:dyDescent="0.35">
      <c r="A7" s="1">
        <v>82.5</v>
      </c>
      <c r="B7" s="1">
        <v>1.59</v>
      </c>
      <c r="C7">
        <f t="shared" si="0"/>
        <v>1.5853340851423738</v>
      </c>
      <c r="D7" t="s">
        <v>8</v>
      </c>
      <c r="E7">
        <f>E4-E6*E3</f>
        <v>0.66264589794192341</v>
      </c>
    </row>
    <row r="8" spans="1:5" ht="15" thickBot="1" x14ac:dyDescent="0.35">
      <c r="A8" s="1">
        <v>84</v>
      </c>
      <c r="B8" s="1">
        <v>1.6</v>
      </c>
      <c r="C8">
        <f t="shared" si="0"/>
        <v>1.602110234000564</v>
      </c>
    </row>
    <row r="9" spans="1:5" ht="15" thickBot="1" x14ac:dyDescent="0.35">
      <c r="A9" s="1">
        <v>85</v>
      </c>
      <c r="B9" s="1">
        <v>1.62</v>
      </c>
      <c r="C9">
        <f t="shared" si="0"/>
        <v>1.6132943332393572</v>
      </c>
    </row>
    <row r="10" spans="1:5" ht="15" thickBot="1" x14ac:dyDescent="0.35">
      <c r="A10" s="1">
        <v>86.5</v>
      </c>
      <c r="B10" s="1">
        <v>1.63</v>
      </c>
      <c r="C10">
        <f t="shared" si="0"/>
        <v>1.6300704820975471</v>
      </c>
    </row>
    <row r="11" spans="1:5" ht="15" thickBot="1" x14ac:dyDescent="0.35">
      <c r="A11" s="1">
        <v>87.5</v>
      </c>
      <c r="B11" s="1">
        <v>1.64</v>
      </c>
      <c r="C11">
        <f t="shared" si="0"/>
        <v>1.6412545813363404</v>
      </c>
    </row>
    <row r="12" spans="1:5" ht="15" thickBot="1" x14ac:dyDescent="0.35">
      <c r="A12" s="1">
        <v>89</v>
      </c>
      <c r="B12" s="1">
        <v>1.66</v>
      </c>
      <c r="C12">
        <f t="shared" si="0"/>
        <v>1.6580307301945305</v>
      </c>
    </row>
    <row r="13" spans="1:5" ht="15" thickBot="1" x14ac:dyDescent="0.35">
      <c r="A13" s="1">
        <v>90</v>
      </c>
      <c r="B13" s="1">
        <v>1.67</v>
      </c>
      <c r="C13">
        <f t="shared" si="0"/>
        <v>1.669214829433324</v>
      </c>
    </row>
    <row r="14" spans="1:5" ht="15" thickBot="1" x14ac:dyDescent="0.35">
      <c r="A14" s="1">
        <v>91.5</v>
      </c>
      <c r="B14" s="1">
        <v>1.68</v>
      </c>
      <c r="C14">
        <f t="shared" si="0"/>
        <v>1.6859909782915139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51F9-7DA3-4ADB-B5F9-9F10E05D04E8}">
  <dimension ref="A1:Q14"/>
  <sheetViews>
    <sheetView tabSelected="1" topLeftCell="N1" workbookViewId="0">
      <selection activeCell="T22" sqref="T22"/>
    </sheetView>
  </sheetViews>
  <sheetFormatPr defaultRowHeight="14.4" x14ac:dyDescent="0.3"/>
  <cols>
    <col min="10" max="10" width="10.5546875" customWidth="1"/>
    <col min="16" max="16" width="13" customWidth="1"/>
    <col min="17" max="17" width="12.6640625" customWidth="1"/>
  </cols>
  <sheetData>
    <row r="1" spans="1:17" ht="15" thickBot="1" x14ac:dyDescent="0.35">
      <c r="A1" s="3" t="s">
        <v>10</v>
      </c>
      <c r="B1" s="3" t="s">
        <v>11</v>
      </c>
      <c r="C1" s="3" t="s">
        <v>12</v>
      </c>
      <c r="E1" s="4" t="s">
        <v>13</v>
      </c>
      <c r="F1" s="3" t="s">
        <v>10</v>
      </c>
      <c r="G1" s="3" t="s">
        <v>11</v>
      </c>
      <c r="H1" s="3" t="s">
        <v>12</v>
      </c>
      <c r="J1" s="5" t="s">
        <v>14</v>
      </c>
      <c r="K1" cm="1">
        <f t="array" ref="K1:N4">MMULT(TRANSPOSE(E2:H12),E2:H12)</f>
        <v>11</v>
      </c>
      <c r="L1">
        <v>66</v>
      </c>
      <c r="M1">
        <v>47</v>
      </c>
      <c r="N1">
        <v>519</v>
      </c>
      <c r="P1" t="s">
        <v>18</v>
      </c>
      <c r="Q1" t="s">
        <v>19</v>
      </c>
    </row>
    <row r="2" spans="1:17" ht="15" thickBot="1" x14ac:dyDescent="0.35">
      <c r="A2" s="3">
        <v>7</v>
      </c>
      <c r="B2" s="3">
        <v>5</v>
      </c>
      <c r="C2" s="3">
        <v>65</v>
      </c>
      <c r="E2" s="4">
        <v>1</v>
      </c>
      <c r="F2" s="3">
        <v>7</v>
      </c>
      <c r="G2" s="3">
        <v>5</v>
      </c>
      <c r="H2" s="3">
        <v>65</v>
      </c>
      <c r="J2" s="6"/>
      <c r="K2">
        <v>66</v>
      </c>
      <c r="L2">
        <v>454</v>
      </c>
      <c r="M2">
        <v>261</v>
      </c>
      <c r="N2">
        <v>3319</v>
      </c>
      <c r="P2">
        <f>$N$11+$N$12*F2 +$N$13*G2</f>
        <v>54.810499624828537</v>
      </c>
      <c r="Q2">
        <f>POWER(H2-P2,2)</f>
        <v>103.82591789561937</v>
      </c>
    </row>
    <row r="3" spans="1:17" ht="15" thickBot="1" x14ac:dyDescent="0.35">
      <c r="A3" s="3">
        <v>3</v>
      </c>
      <c r="B3" s="3">
        <v>7</v>
      </c>
      <c r="C3" s="3">
        <v>38</v>
      </c>
      <c r="E3" s="4">
        <v>1</v>
      </c>
      <c r="F3" s="3">
        <v>3</v>
      </c>
      <c r="G3" s="3">
        <v>7</v>
      </c>
      <c r="H3" s="3">
        <v>38</v>
      </c>
      <c r="J3" s="6"/>
      <c r="K3">
        <v>47</v>
      </c>
      <c r="L3">
        <v>261</v>
      </c>
      <c r="M3">
        <v>269</v>
      </c>
      <c r="N3">
        <v>2371</v>
      </c>
      <c r="P3">
        <f t="shared" ref="P3:P13" si="0">$N$11+$N$12*F3 +$N$13*G3</f>
        <v>42.746177132655433</v>
      </c>
      <c r="Q3">
        <f t="shared" ref="Q3:Q12" si="1">POWER(H3-P3,2)</f>
        <v>22.526197374541344</v>
      </c>
    </row>
    <row r="4" spans="1:17" ht="15" thickBot="1" x14ac:dyDescent="0.35">
      <c r="A4" s="3">
        <v>5</v>
      </c>
      <c r="B4" s="3">
        <v>8</v>
      </c>
      <c r="C4" s="3">
        <v>51</v>
      </c>
      <c r="E4" s="4">
        <v>1</v>
      </c>
      <c r="F4" s="3">
        <v>5</v>
      </c>
      <c r="G4" s="3">
        <v>8</v>
      </c>
      <c r="H4" s="3">
        <v>51</v>
      </c>
      <c r="J4" s="6"/>
      <c r="K4">
        <v>519</v>
      </c>
      <c r="L4">
        <v>3319</v>
      </c>
      <c r="M4">
        <v>2371</v>
      </c>
      <c r="N4">
        <v>26345</v>
      </c>
      <c r="P4">
        <f t="shared" si="0"/>
        <v>56.295169344614322</v>
      </c>
      <c r="Q4">
        <f t="shared" si="1"/>
        <v>28.038818388143273</v>
      </c>
    </row>
    <row r="5" spans="1:17" ht="15" thickBot="1" x14ac:dyDescent="0.35">
      <c r="A5" s="3">
        <v>8</v>
      </c>
      <c r="B5" s="3">
        <v>1</v>
      </c>
      <c r="C5" s="3">
        <v>38</v>
      </c>
      <c r="E5" s="4">
        <v>1</v>
      </c>
      <c r="F5" s="3">
        <v>8</v>
      </c>
      <c r="G5" s="3">
        <v>1</v>
      </c>
      <c r="H5" s="3">
        <v>38</v>
      </c>
      <c r="J5" s="6"/>
      <c r="P5">
        <f t="shared" si="0"/>
        <v>44.672126057595207</v>
      </c>
      <c r="Q5">
        <f t="shared" si="1"/>
        <v>44.517266128440966</v>
      </c>
    </row>
    <row r="6" spans="1:17" ht="15" thickBot="1" x14ac:dyDescent="0.35">
      <c r="A6" s="3">
        <v>9</v>
      </c>
      <c r="B6" s="3">
        <v>3</v>
      </c>
      <c r="C6" s="3">
        <v>55</v>
      </c>
      <c r="E6" s="4">
        <v>1</v>
      </c>
      <c r="F6" s="3">
        <v>9</v>
      </c>
      <c r="G6" s="3">
        <v>3</v>
      </c>
      <c r="H6" s="3">
        <v>55</v>
      </c>
      <c r="J6" s="5" t="s">
        <v>15</v>
      </c>
      <c r="K6" cm="1">
        <f t="array" ref="K6:M8">MINVERSE(K1:M3)</f>
        <v>1.3973194649279432</v>
      </c>
      <c r="L6">
        <v>-0.14197003803461952</v>
      </c>
      <c r="M6">
        <v>-0.10639343838132949</v>
      </c>
      <c r="P6">
        <f t="shared" si="0"/>
        <v>57.08424538797891</v>
      </c>
      <c r="Q6">
        <f t="shared" si="1"/>
        <v>4.3440788373113586</v>
      </c>
    </row>
    <row r="7" spans="1:17" ht="15" thickBot="1" x14ac:dyDescent="0.35">
      <c r="A7" s="3">
        <v>5</v>
      </c>
      <c r="B7" s="3">
        <v>4</v>
      </c>
      <c r="C7" s="3">
        <v>43</v>
      </c>
      <c r="E7" s="4">
        <v>1</v>
      </c>
      <c r="F7" s="3">
        <v>5</v>
      </c>
      <c r="G7" s="3">
        <v>4</v>
      </c>
      <c r="H7" s="3">
        <v>43</v>
      </c>
      <c r="K7">
        <v>-0.14197003803461947</v>
      </c>
      <c r="L7">
        <v>1.9405417992703587E-2</v>
      </c>
      <c r="M7">
        <v>5.9768687417527068E-3</v>
      </c>
      <c r="P7">
        <f t="shared" si="0"/>
        <v>41.261507412869634</v>
      </c>
      <c r="Q7">
        <f t="shared" si="1"/>
        <v>3.0223564755072347</v>
      </c>
    </row>
    <row r="8" spans="1:17" ht="15" thickBot="1" x14ac:dyDescent="0.35">
      <c r="A8" s="3">
        <v>4</v>
      </c>
      <c r="B8" s="3">
        <v>0</v>
      </c>
      <c r="C8" s="3">
        <v>25</v>
      </c>
      <c r="E8" s="4">
        <v>1</v>
      </c>
      <c r="F8" s="3">
        <v>4</v>
      </c>
      <c r="G8" s="3">
        <v>0</v>
      </c>
      <c r="H8" s="3">
        <v>25</v>
      </c>
      <c r="K8">
        <v>-0.10639343838132957</v>
      </c>
      <c r="L8">
        <v>5.976868741752718E-3</v>
      </c>
      <c r="M8">
        <v>1.6507542239126507E-2</v>
      </c>
      <c r="P8">
        <f t="shared" si="0"/>
        <v>21.332557116613586</v>
      </c>
      <c r="Q8">
        <f t="shared" si="1"/>
        <v>13.450137302901656</v>
      </c>
    </row>
    <row r="9" spans="1:17" ht="15" thickBot="1" x14ac:dyDescent="0.35">
      <c r="A9" s="3">
        <v>2</v>
      </c>
      <c r="B9" s="3">
        <v>6</v>
      </c>
      <c r="C9" s="3">
        <v>33</v>
      </c>
      <c r="E9" s="4">
        <v>1</v>
      </c>
      <c r="F9" s="3">
        <v>2</v>
      </c>
      <c r="G9" s="3">
        <v>6</v>
      </c>
      <c r="H9" s="3">
        <v>33</v>
      </c>
      <c r="P9">
        <f t="shared" si="0"/>
        <v>34.092473285207895</v>
      </c>
      <c r="Q9">
        <f t="shared" si="1"/>
        <v>1.19349787889293</v>
      </c>
    </row>
    <row r="10" spans="1:17" ht="15" thickBot="1" x14ac:dyDescent="0.35">
      <c r="A10" s="3">
        <v>8</v>
      </c>
      <c r="B10" s="3">
        <v>7</v>
      </c>
      <c r="C10" s="3">
        <v>71</v>
      </c>
      <c r="E10" s="4">
        <v>1</v>
      </c>
      <c r="F10" s="3">
        <v>8</v>
      </c>
      <c r="G10" s="3">
        <v>7</v>
      </c>
      <c r="H10" s="3">
        <v>71</v>
      </c>
      <c r="P10">
        <f t="shared" si="0"/>
        <v>67.222618955212241</v>
      </c>
      <c r="Q10">
        <f t="shared" si="1"/>
        <v>14.268607557521864</v>
      </c>
    </row>
    <row r="11" spans="1:17" ht="15" thickBot="1" x14ac:dyDescent="0.35">
      <c r="A11" s="3">
        <v>6</v>
      </c>
      <c r="B11" s="3">
        <v>4</v>
      </c>
      <c r="C11" s="3">
        <v>51</v>
      </c>
      <c r="E11" s="4">
        <v>1</v>
      </c>
      <c r="F11" s="3">
        <v>6</v>
      </c>
      <c r="G11" s="3">
        <v>4</v>
      </c>
      <c r="H11" s="3">
        <v>51</v>
      </c>
      <c r="J11" t="s">
        <v>16</v>
      </c>
      <c r="K11" cm="1">
        <f t="array" ref="K11:K13">MMULT(TRANSPOSE(E2:G12), H2:H12)</f>
        <v>519</v>
      </c>
      <c r="M11" t="s">
        <v>17</v>
      </c>
      <c r="N11" cm="1">
        <f t="array" ref="N11:N13">MMULT(_xlfn.ANCHORARRAY(K6),_xlfn.ANCHORARRAY( K11))</f>
        <v>1.7514036585681367</v>
      </c>
      <c r="P11">
        <f t="shared" si="0"/>
        <v>46.156795777380999</v>
      </c>
      <c r="Q11">
        <f t="shared" si="1"/>
        <v>23.456627141994517</v>
      </c>
    </row>
    <row r="12" spans="1:17" ht="15" thickBot="1" x14ac:dyDescent="0.35">
      <c r="A12" s="3">
        <v>9</v>
      </c>
      <c r="B12" s="3">
        <v>2</v>
      </c>
      <c r="C12" s="3">
        <v>49</v>
      </c>
      <c r="E12" s="4">
        <v>1</v>
      </c>
      <c r="F12" s="3">
        <v>9</v>
      </c>
      <c r="G12" s="3">
        <v>2</v>
      </c>
      <c r="H12" s="3">
        <v>49</v>
      </c>
      <c r="K12">
        <v>3319</v>
      </c>
      <c r="N12">
        <v>4.8952883645113623</v>
      </c>
      <c r="P12">
        <f t="shared" si="0"/>
        <v>53.325829905042738</v>
      </c>
      <c r="Q12">
        <f t="shared" si="1"/>
        <v>18.712804367362065</v>
      </c>
    </row>
    <row r="13" spans="1:17" x14ac:dyDescent="0.3">
      <c r="K13">
        <v>2371</v>
      </c>
      <c r="N13">
        <v>3.7584154829361722</v>
      </c>
      <c r="P13" t="s">
        <v>20</v>
      </c>
      <c r="Q13">
        <f>AVERAGE(Q2:Q12)</f>
        <v>25.214209940748784</v>
      </c>
    </row>
    <row r="14" spans="1:17" x14ac:dyDescent="0.3">
      <c r="P14" t="s">
        <v>21</v>
      </c>
      <c r="Q14">
        <f>SQRT(Q13)</f>
        <v>5.0213753037139917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Excel_1</vt:lpstr>
      <vt:lpstr>Excel_2</vt:lpstr>
      <vt:lpstr>Excel_3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Quỳnh Chi Nguyễn Ngọc</dc:creator>
  <cp:lastModifiedBy>Quỳnh Chi Nguyễn Ngọc</cp:lastModifiedBy>
  <dcterms:created xsi:type="dcterms:W3CDTF">2025-10-22T00:58:29Z</dcterms:created>
  <dcterms:modified xsi:type="dcterms:W3CDTF">2025-10-22T02:53:30Z</dcterms:modified>
</cp:coreProperties>
</file>